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3382DCB5-EB9A-404B-BE58-F1472F165113}" xr6:coauthVersionLast="47" xr6:coauthVersionMax="47" xr10:uidLastSave="{00000000-0000-0000-0000-000000000000}"/>
  <bookViews>
    <workbookView xWindow="-110" yWindow="-110" windowWidth="19420" windowHeight="104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D12" i="19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E30" i="18"/>
  <c r="D30" i="18"/>
  <c r="C30" i="18"/>
  <c r="B30" i="18"/>
  <c r="C29" i="18"/>
  <c r="D29" i="18"/>
  <c r="E29" i="18"/>
  <c r="F29" i="18"/>
  <c r="B29" i="18"/>
  <c r="C28" i="18"/>
  <c r="D28" i="18"/>
  <c r="E28" i="18"/>
  <c r="F28" i="18"/>
  <c r="B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H41" i="1"/>
</calcChain>
</file>

<file path=xl/sharedStrings.xml><?xml version="1.0" encoding="utf-8"?>
<sst xmlns="http://schemas.openxmlformats.org/spreadsheetml/2006/main" count="345" uniqueCount="191">
  <si>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</si>
  <si>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</si>
  <si>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</si>
  <si>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</si>
  <si>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</si>
  <si>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</si>
  <si>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</si>
  <si>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</si>
  <si>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</si>
  <si>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</si>
  <si>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</si>
  <si>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</si>
  <si>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</si>
  <si>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</si>
  <si>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</si>
  <si>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</si>
  <si>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</si>
  <si>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</si>
  <si>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</si>
  <si>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</si>
  <si>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</si>
  <si>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</si>
  <si>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</si>
  <si>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</si>
  <si>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</si>
  <si>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</si>
  <si>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</si>
  <si>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</si>
  <si>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</si>
  <si>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</si>
  <si>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</si>
  <si>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</si>
  <si>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</si>
  <si>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</si>
  <si>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</si>
  <si>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</si>
  <si>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</si>
  <si>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</si>
  <si>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</si>
  <si>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</si>
  <si>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</si>
  <si>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</si>
  <si>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</si>
  <si>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</si>
  <si>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</si>
  <si>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</si>
  <si>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</si>
  <si>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</si>
  <si>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</si>
  <si>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</si>
  <si>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</si>
  <si>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</si>
  <si>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</si>
  <si>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</si>
  <si>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</si>
  <si>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</si>
  <si>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</si>
  <si>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</si>
  <si>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</si>
  <si>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</si>
  <si>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</si>
  <si>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</si>
  <si>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</si>
  <si>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</si>
  <si>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</si>
  <si>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</si>
  <si>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</si>
  <si>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</si>
  <si>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</si>
  <si>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</si>
  <si>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</si>
  <si>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</si>
  <si>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</si>
  <si>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</si>
  <si>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</si>
  <si>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</si>
  <si>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</si>
  <si>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</si>
  <si>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</si>
  <si>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</si>
  <si>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</si>
  <si>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</si>
  <si>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</si>
  <si>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</si>
  <si>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</si>
  <si>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</si>
  <si>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</si>
  <si>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</si>
  <si>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</si>
  <si>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</si>
  <si>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</si>
  <si>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</si>
  <si>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</si>
  <si>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</si>
  <si>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</si>
  <si>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</si>
  <si>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</si>
  <si>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</si>
  <si>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</si>
  <si>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</si>
  <si>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</si>
  <si>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</si>
  <si>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</si>
  <si>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</si>
  <si>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</si>
  <si>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</si>
  <si>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</si>
  <si>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</si>
  <si>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</si>
  <si>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</si>
  <si>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</si>
  <si>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</si>
  <si>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</si>
  <si>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</si>
  <si>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</si>
  <si>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</si>
  <si>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</si>
  <si>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</si>
  <si>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</si>
  <si>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</si>
  <si>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</si>
  <si>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</si>
  <si>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</si>
  <si>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</si>
  <si>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</si>
  <si>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</si>
  <si>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</si>
  <si>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</si>
  <si>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</si>
  <si>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</si>
  <si>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</si>
  <si>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</si>
  <si>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</si>
  <si>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</si>
  <si>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</si>
  <si>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</si>
  <si>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</si>
  <si>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</si>
  <si>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</si>
  <si>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</si>
  <si>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</si>
  <si>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</si>
  <si>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</si>
  <si>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</si>
  <si>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</si>
  <si>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</si>
  <si>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</si>
  <si>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</si>
  <si>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</si>
  <si>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</si>
  <si>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</si>
  <si>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</si>
  <si>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</si>
  <si>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</si>
  <si>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</si>
  <si>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</si>
  <si>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</si>
  <si>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</si>
  <si>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</si>
  <si>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</si>
  <si>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</si>
  <si>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</si>
  <si>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</si>
  <si>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</si>
  <si>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</si>
  <si>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</si>
  <si>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</si>
  <si>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</si>
  <si>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</si>
  <si>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</si>
  <si>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</si>
  <si>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</si>
  <si>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</si>
  <si>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</si>
  <si>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</si>
  <si>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</si>
  <si>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</si>
  <si>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</si>
  <si>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>Freezed in the Data set</t>
  </si>
  <si>
    <t>Completed</t>
  </si>
  <si>
    <t>LEFT(A16,5)</t>
  </si>
  <si>
    <t>Col_1</t>
  </si>
  <si>
    <t>Col_3</t>
  </si>
  <si>
    <t>Col_5</t>
  </si>
  <si>
    <t>Col_4</t>
  </si>
  <si>
    <t>Col_6</t>
  </si>
  <si>
    <t>IFERROR(Sales, 20)</t>
  </si>
  <si>
    <t>MID(A16,7,6)</t>
  </si>
  <si>
    <t>MID(A16,14,1)</t>
  </si>
  <si>
    <t>MID(A16,16,6)</t>
  </si>
  <si>
    <t>RIGHT(A16,2)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</si>
</sst>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0" sqref="B10:B13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O1" zoomScaleNormal="100" workbookViewId="0">
      <pane ySplit="1" topLeftCell="A2" activePane="bottomLeft" state="frozen"/>
      <selection pane="bottomLeft" activeCell="R2" sqref="R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expression" dxfId="1" priority="2">
      <formula>G2=-1</formula>
    </cfRule>
    <cfRule type="expression" dxfId="0" priority="1">
      <formula>G2=0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7" sqref="D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D3" s="1" t="s">
        <v>179</v>
      </c>
      <c r="E3" s="1">
        <v>5</v>
      </c>
    </row>
    <row r="4" spans="1:5" x14ac:dyDescent="0.35">
      <c r="A4" s="6">
        <v>2</v>
      </c>
      <c r="B4" s="2" t="s">
        <v>46</v>
      </c>
      <c r="C4" s="2" t="s">
        <v>178</v>
      </c>
      <c r="D4" s="1" t="s">
        <v>179</v>
      </c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D5" s="1" t="s">
        <v>179</v>
      </c>
      <c r="E5" s="1">
        <v>10</v>
      </c>
    </row>
    <row r="6" spans="1:5" x14ac:dyDescent="0.35">
      <c r="A6" s="6">
        <v>4</v>
      </c>
      <c r="B6" s="2" t="s">
        <v>106</v>
      </c>
      <c r="C6" s="2"/>
      <c r="D6" s="1" t="s">
        <v>179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30" sqref="B30: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VLOOKUP(A6,Dataset!A:G,7,0)</f>
        <v>2.7</v>
      </c>
      <c r="C6" s="11">
        <f>VLOOKUP(A6,Dataset!A:N,14,0)</f>
        <v>7.6</v>
      </c>
      <c r="D6" s="11">
        <f>VLOOKUP(A6,Dataset!A:R,18,0)</f>
        <v>4.2</v>
      </c>
      <c r="E6" s="11">
        <f>VLOOKUP(A6,Dataset!A:T,20,0)</f>
        <v>8.9</v>
      </c>
      <c r="F6" s="8">
        <f>VLOOKUP(A6,Dataset!A:V,22,0)</f>
        <v>4.2</v>
      </c>
    </row>
    <row r="7" spans="1:7" ht="14.5" x14ac:dyDescent="0.35">
      <c r="A7" s="7" t="s">
        <v>4</v>
      </c>
      <c r="B7" s="11">
        <f>VLOOKUP(A7,Dataset!A:G,7,0)</f>
        <v>2.7</v>
      </c>
      <c r="C7" s="11">
        <f>VLOOKUP(A7,Dataset!A:N,14,0)</f>
        <v>7.6</v>
      </c>
      <c r="D7" s="11">
        <f>VLOOKUP(A7,Dataset!A:R,18,0)</f>
        <v>4.2</v>
      </c>
      <c r="E7" s="11">
        <f>VLOOKUP(A7,Dataset!A:T,20,0)</f>
        <v>8.9</v>
      </c>
      <c r="F7" s="8">
        <f>VLOOKUP(A7,Dataset!A:V,22,0)</f>
        <v>4.2</v>
      </c>
    </row>
    <row r="8" spans="1:7" ht="14.5" x14ac:dyDescent="0.35">
      <c r="A8" s="7" t="s">
        <v>7</v>
      </c>
      <c r="B8" s="11">
        <f>VLOOKUP(A8,Dataset!A:G,7,0)</f>
        <v>3.6</v>
      </c>
      <c r="C8" s="11">
        <f>VLOOKUP(A8,Dataset!A:N,14,0)</f>
        <v>11.1</v>
      </c>
      <c r="D8" s="11">
        <f>VLOOKUP(A8,Dataset!A:R,18,0)</f>
        <v>5.8</v>
      </c>
      <c r="E8" s="11">
        <f>VLOOKUP(A8,Dataset!A:T,20,0)</f>
        <v>12.2</v>
      </c>
      <c r="F8" s="8">
        <f>VLOOKUP(A8,Dataset!A:V,22,0)</f>
        <v>5.8</v>
      </c>
    </row>
    <row r="9" spans="1:7" ht="14.5" x14ac:dyDescent="0.35">
      <c r="A9" s="7" t="s">
        <v>8</v>
      </c>
      <c r="B9" s="11">
        <f>VLOOKUP(A9,Dataset!A:G,7,0)</f>
        <v>4.9000000000000004</v>
      </c>
      <c r="C9" s="11">
        <f>VLOOKUP(A9,Dataset!A:N,14,0)</f>
        <v>13.3</v>
      </c>
      <c r="D9" s="11">
        <f>VLOOKUP(A9,Dataset!A:R,18,0)</f>
        <v>8.1</v>
      </c>
      <c r="E9" s="11">
        <f>VLOOKUP(A9,Dataset!A:T,20,0)</f>
        <v>17</v>
      </c>
      <c r="F9" s="8">
        <f>VLOOKUP(A9,Dataset!A:V,22,0)</f>
        <v>8.1</v>
      </c>
    </row>
    <row r="10" spans="1:7" ht="14.5" x14ac:dyDescent="0.35">
      <c r="A10" s="7" t="s">
        <v>11</v>
      </c>
      <c r="B10" s="11">
        <f>VLOOKUP(A10,Dataset!A:G,7,0)</f>
        <v>9.4</v>
      </c>
      <c r="C10" s="11">
        <f>VLOOKUP(A10,Dataset!A:N,14,0)</f>
        <v>28.3</v>
      </c>
      <c r="D10" s="11">
        <f>VLOOKUP(A10,Dataset!A:R,18,0)</f>
        <v>16.100000000000001</v>
      </c>
      <c r="E10" s="11">
        <f>VLOOKUP(A10,Dataset!A:T,20,0)</f>
        <v>32.799999999999997</v>
      </c>
      <c r="F10" s="8">
        <f>VLOOKUP(A10,Dataset!A:V,22,0)</f>
        <v>16.100000000000001</v>
      </c>
    </row>
    <row r="11" spans="1:7" ht="14.5" x14ac:dyDescent="0.35">
      <c r="A11" s="7" t="s">
        <v>12</v>
      </c>
      <c r="B11" s="11">
        <f>VLOOKUP(A11,Dataset!A:G,7,0)</f>
        <v>11.6</v>
      </c>
      <c r="C11" s="11">
        <f>VLOOKUP(A11,Dataset!A:N,14,0)</f>
        <v>35.200000000000003</v>
      </c>
      <c r="D11" s="11">
        <f>VLOOKUP(A11,Dataset!A:R,18,0)</f>
        <v>21.3</v>
      </c>
      <c r="E11" s="11">
        <f>VLOOKUP(A11,Dataset!A:T,20,0)</f>
        <v>43</v>
      </c>
      <c r="F11" s="8">
        <f>VLOOKUP(A11,Dataset!A:V,22,0)</f>
        <v>21.3</v>
      </c>
    </row>
    <row r="12" spans="1:7" ht="14.5" x14ac:dyDescent="0.35">
      <c r="A12" s="7" t="s">
        <v>14</v>
      </c>
      <c r="B12" s="11">
        <f>VLOOKUP(A12,Dataset!A:G,7,0)</f>
        <v>18.399999999999999</v>
      </c>
      <c r="C12" s="11">
        <f>VLOOKUP(A12,Dataset!A:N,14,0)</f>
        <v>55.6</v>
      </c>
      <c r="D12" s="11">
        <f>VLOOKUP(A12,Dataset!A:R,18,0)</f>
        <v>33.799999999999997</v>
      </c>
      <c r="E12" s="11">
        <f>VLOOKUP(A12,Dataset!A:T,20,0)</f>
        <v>67.900000000000006</v>
      </c>
      <c r="F12" s="8">
        <f>VLOOKUP(A12,Dataset!A:V,22,0)</f>
        <v>33.799999999999997</v>
      </c>
    </row>
    <row r="13" spans="1:7" ht="14.5" x14ac:dyDescent="0.35">
      <c r="A13" s="7" t="s">
        <v>15</v>
      </c>
      <c r="B13" s="11">
        <f>VLOOKUP(A13,Dataset!A:G,7,0)</f>
        <v>0</v>
      </c>
      <c r="C13" s="11">
        <f>VLOOKUP(A13,Dataset!A:N,14,0)</f>
        <v>0</v>
      </c>
      <c r="D13" s="11">
        <f>VLOOKUP(A13,Dataset!A:R,18,0)</f>
        <v>0</v>
      </c>
      <c r="E13" s="11">
        <f>VLOOKUP(A13,Dataset!A:T,20,0)</f>
        <v>0</v>
      </c>
      <c r="F13" s="8">
        <f>VLOOKUP(A13,Dataset!A:V,22,0)</f>
        <v>0</v>
      </c>
    </row>
    <row r="14" spans="1:7" ht="14.5" x14ac:dyDescent="0.35">
      <c r="A14" s="7" t="s">
        <v>16</v>
      </c>
      <c r="B14" s="11">
        <f>VLOOKUP(A14,Dataset!A:G,7,0)</f>
        <v>21.9</v>
      </c>
      <c r="C14" s="11">
        <f>VLOOKUP(A14,Dataset!A:N,14,0)</f>
        <v>61.5</v>
      </c>
      <c r="D14" s="11">
        <f>VLOOKUP(A14,Dataset!A:R,18,0)</f>
        <v>40.1</v>
      </c>
      <c r="E14" s="11">
        <f>VLOOKUP(A14,Dataset!A:T,20,0)</f>
        <v>76.599999999999994</v>
      </c>
      <c r="F14" s="8">
        <f>VLOOKUP(A14,Dataset!A:V,22,0)</f>
        <v>40.1</v>
      </c>
    </row>
    <row r="15" spans="1:7" ht="14.5" x14ac:dyDescent="0.35">
      <c r="A15" s="7" t="s">
        <v>18</v>
      </c>
      <c r="B15" s="11">
        <f>VLOOKUP(A15,Dataset!A:G,7,0)</f>
        <v>26.8</v>
      </c>
      <c r="C15" s="11">
        <f>VLOOKUP(A15,Dataset!A:N,14,0)</f>
        <v>79.599999999999994</v>
      </c>
      <c r="D15" s="11">
        <f>VLOOKUP(A15,Dataset!A:R,18,0)</f>
        <v>47.9</v>
      </c>
      <c r="E15" s="11">
        <f>VLOOKUP(A15,Dataset!A:T,20,0)</f>
        <v>96.8</v>
      </c>
      <c r="F15" s="8">
        <f>VLOOKUP(A15,Dataset!A:V,22,0)</f>
        <v>47.9</v>
      </c>
    </row>
    <row r="16" spans="1:7" ht="14.5" x14ac:dyDescent="0.35">
      <c r="A16" s="7" t="s">
        <v>20</v>
      </c>
      <c r="B16" s="11">
        <f>VLOOKUP(A16,Dataset!A:G,7,0)</f>
        <v>28.5</v>
      </c>
      <c r="C16" s="11">
        <f>VLOOKUP(A16,Dataset!A:N,14,0)</f>
        <v>85.4</v>
      </c>
      <c r="D16" s="11">
        <f>VLOOKUP(A16,Dataset!A:R,18,0)</f>
        <v>52.3</v>
      </c>
      <c r="E16" s="11">
        <f>VLOOKUP(A16,Dataset!A:T,20,0)</f>
        <v>106.1</v>
      </c>
      <c r="F16" s="8">
        <f>VLOOKUP(A16,Dataset!A:V,22,0)</f>
        <v>52.3</v>
      </c>
    </row>
    <row r="17" spans="1:6" ht="14.5" x14ac:dyDescent="0.35">
      <c r="A17" s="7" t="s">
        <v>22</v>
      </c>
      <c r="B17" s="11">
        <f>VLOOKUP(A17,Dataset!A:G,7,0)</f>
        <v>30.7</v>
      </c>
      <c r="C17" s="11">
        <f>VLOOKUP(A17,Dataset!A:N,14,0)</f>
        <v>92.1</v>
      </c>
      <c r="D17" s="11">
        <f>VLOOKUP(A17,Dataset!A:R,18,0)</f>
        <v>57</v>
      </c>
      <c r="E17" s="11">
        <f>VLOOKUP(A17,Dataset!A:T,20,0)</f>
        <v>115.1</v>
      </c>
      <c r="F17" s="8">
        <f>VLOOKUP(A17,Dataset!A:V,22,0)</f>
        <v>57</v>
      </c>
    </row>
    <row r="18" spans="1:6" ht="14.5" x14ac:dyDescent="0.35">
      <c r="A18" s="7" t="s">
        <v>23</v>
      </c>
      <c r="B18" s="11">
        <f>VLOOKUP(A18,Dataset!A:G,7,0)</f>
        <v>33.799999999999997</v>
      </c>
      <c r="C18" s="11">
        <f>VLOOKUP(A18,Dataset!A:N,14,0)</f>
        <v>101.3</v>
      </c>
      <c r="D18" s="11">
        <f>VLOOKUP(A18,Dataset!A:R,18,0)</f>
        <v>61.4</v>
      </c>
      <c r="E18" s="11">
        <f>VLOOKUP(A18,Dataset!A:T,20,0)</f>
        <v>124.4</v>
      </c>
      <c r="F18" s="8">
        <f>VLOOKUP(A18,Dataset!A:V,22,0)</f>
        <v>61.4</v>
      </c>
    </row>
    <row r="19" spans="1:6" ht="14.5" x14ac:dyDescent="0.35">
      <c r="A19" s="7" t="s">
        <v>24</v>
      </c>
      <c r="B19" s="11">
        <f>VLOOKUP(A19,Dataset!A:G,7,0)</f>
        <v>34.700000000000003</v>
      </c>
      <c r="C19" s="11">
        <f>VLOOKUP(A19,Dataset!A:N,14,0)</f>
        <v>106.1</v>
      </c>
      <c r="D19" s="11">
        <f>VLOOKUP(A19,Dataset!A:R,18,0)</f>
        <v>63.6</v>
      </c>
      <c r="E19" s="11">
        <f>VLOOKUP(A19,Dataset!A:T,20,0)</f>
        <v>128.6</v>
      </c>
      <c r="F19" s="8">
        <f>VLOOKUP(A19,Dataset!A:V,22,0)</f>
        <v>63.6</v>
      </c>
    </row>
    <row r="20" spans="1:6" ht="14.5" x14ac:dyDescent="0.35">
      <c r="A20" s="7" t="s">
        <v>28</v>
      </c>
      <c r="B20" s="11">
        <f>VLOOKUP(A20,Dataset!A:G,7,0)</f>
        <v>0</v>
      </c>
      <c r="C20" s="11">
        <f>VLOOKUP(A20,Dataset!A:N,14,0)</f>
        <v>0</v>
      </c>
      <c r="D20" s="11">
        <f>VLOOKUP(A20,Dataset!A:R,18,0)</f>
        <v>0</v>
      </c>
      <c r="E20" s="11">
        <f>VLOOKUP(A20,Dataset!A:T,20,0)</f>
        <v>0</v>
      </c>
      <c r="F20" s="8">
        <f>VLOOKUP(A20,Dataset!A:V,22,0)</f>
        <v>0</v>
      </c>
    </row>
    <row r="21" spans="1:6" ht="14.5" x14ac:dyDescent="0.35">
      <c r="A21" s="7" t="s">
        <v>57</v>
      </c>
      <c r="B21" s="11">
        <f>VLOOKUP(A21,Dataset!A:G,7,0)</f>
        <v>41.3</v>
      </c>
      <c r="C21" s="11">
        <f>VLOOKUP(A21,Dataset!A:N,14,0)</f>
        <v>124.4</v>
      </c>
      <c r="D21" s="11">
        <f>VLOOKUP(A21,Dataset!A:R,18,0)</f>
        <v>75</v>
      </c>
      <c r="E21" s="11">
        <f>VLOOKUP(A21,Dataset!A:T,20,0)</f>
        <v>151.5</v>
      </c>
      <c r="F21" s="8">
        <f>VLOOKUP(A21,Dataset!A:V,22,0)</f>
        <v>75</v>
      </c>
    </row>
    <row r="22" spans="1:6" ht="14.5" x14ac:dyDescent="0.35">
      <c r="A22" s="7" t="s">
        <v>58</v>
      </c>
      <c r="B22" s="11">
        <f>VLOOKUP(A22,Dataset!A:G,7,0)</f>
        <v>-1</v>
      </c>
      <c r="C22" s="11">
        <f>VLOOKUP(A22,Dataset!A:N,14,0)</f>
        <v>-1</v>
      </c>
      <c r="D22" s="11">
        <f>VLOOKUP(A22,Dataset!A:R,18,0)</f>
        <v>-1</v>
      </c>
      <c r="E22" s="11">
        <f>VLOOKUP(A22,Dataset!A:T,20,0)</f>
        <v>-1</v>
      </c>
      <c r="F22" s="8">
        <f>VLOOKUP(A22,Dataset!A:V,22,0)</f>
        <v>-1</v>
      </c>
    </row>
    <row r="23" spans="1:6" ht="14.5" x14ac:dyDescent="0.35">
      <c r="A23" s="7" t="s">
        <v>31</v>
      </c>
      <c r="B23" s="11">
        <f>VLOOKUP(A23,Dataset!A:G,7,0)</f>
        <v>45</v>
      </c>
      <c r="C23" s="11">
        <f>VLOOKUP(A23,Dataset!A:N,14,0)</f>
        <v>133.4</v>
      </c>
      <c r="D23" s="11">
        <f>VLOOKUP(A23,Dataset!A:R,18,0)</f>
        <v>79.400000000000006</v>
      </c>
      <c r="E23" s="11">
        <f>VLOOKUP(A23,Dataset!A:T,20,0)</f>
        <v>160.9</v>
      </c>
      <c r="F23" s="8">
        <f>VLOOKUP(A23,Dataset!A:V,22,0)</f>
        <v>79.400000000000006</v>
      </c>
    </row>
    <row r="24" spans="1:6" ht="14.5" x14ac:dyDescent="0.35">
      <c r="A24" s="7" t="s">
        <v>32</v>
      </c>
      <c r="B24" s="11">
        <f>VLOOKUP(A24,Dataset!A:G,7,0)</f>
        <v>-1</v>
      </c>
      <c r="C24" s="11">
        <f>VLOOKUP(A24,Dataset!A:N,14,0)</f>
        <v>-1</v>
      </c>
      <c r="D24" s="11">
        <f>VLOOKUP(A24,Dataset!A:R,18,0)</f>
        <v>-1</v>
      </c>
      <c r="E24" s="11">
        <f>VLOOKUP(A24,Dataset!A:T,20,0)</f>
        <v>-1</v>
      </c>
      <c r="F24" s="8">
        <f>VLOOKUP(A24,Dataset!A:V,22,0)</f>
        <v>-1</v>
      </c>
    </row>
    <row r="25" spans="1:6" ht="14.5" x14ac:dyDescent="0.35">
      <c r="A25" s="7" t="s">
        <v>34</v>
      </c>
      <c r="B25" s="11">
        <f>VLOOKUP(A25,Dataset!A:G,7,0)</f>
        <v>43.3</v>
      </c>
      <c r="C25" s="11">
        <f>VLOOKUP(A25,Dataset!A:N,14,0)</f>
        <v>128.6</v>
      </c>
      <c r="D25" s="11">
        <f>VLOOKUP(A25,Dataset!A:R,18,0)</f>
        <v>79.400000000000006</v>
      </c>
      <c r="E25" s="11">
        <f>VLOOKUP(A25,Dataset!A:T,20,0)</f>
        <v>160.9</v>
      </c>
      <c r="F25" s="8">
        <f>VLOOKUP(A25,Dataset!A:V,22,0)</f>
        <v>79.400000000000006</v>
      </c>
    </row>
    <row r="26" spans="1:6" ht="14.5" x14ac:dyDescent="0.35">
      <c r="A26" s="7" t="s">
        <v>37</v>
      </c>
      <c r="B26" s="11">
        <f>VLOOKUP(A26,Dataset!A:G,7,0)</f>
        <v>49.1</v>
      </c>
      <c r="C26" s="11">
        <f>VLOOKUP(A26,Dataset!A:N,14,0)</f>
        <v>146.80000000000001</v>
      </c>
      <c r="D26" s="11">
        <f>VLOOKUP(A26,Dataset!A:R,18,0)</f>
        <v>90.9</v>
      </c>
      <c r="E26" s="11">
        <f>VLOOKUP(A26,Dataset!A:T,20,0)</f>
        <v>183.5</v>
      </c>
      <c r="F26" s="8">
        <f>VLOOKUP(A26,Dataset!A:V,22,0)</f>
        <v>90.9</v>
      </c>
    </row>
    <row r="27" spans="1:6" ht="14.5" x14ac:dyDescent="0.35">
      <c r="A27" s="7" t="s">
        <v>39</v>
      </c>
      <c r="B27" s="11">
        <f>VLOOKUP(A27,Dataset!A:G,7,0)</f>
        <v>51.8</v>
      </c>
      <c r="C27" s="11">
        <f>VLOOKUP(A27,Dataset!A:N,14,0)</f>
        <v>156.4</v>
      </c>
      <c r="D27" s="11">
        <f>VLOOKUP(A27,Dataset!A:R,18,0)</f>
        <v>93.1</v>
      </c>
      <c r="E27" s="11">
        <f>VLOOKUP(A27,Dataset!A:T,20,0)</f>
        <v>188.1</v>
      </c>
      <c r="F27" s="8">
        <f>VLOOKUP(A27,Dataset!A:V,22,0)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7" sqref="F17"/>
    </sheetView>
  </sheetViews>
  <sheetFormatPr defaultColWidth="11" defaultRowHeight="14.5" x14ac:dyDescent="0.35"/>
  <cols>
    <col min="1" max="1" width="39.796875" style="1" bestFit="1" customWidth="1"/>
    <col min="2" max="2" width="11" style="1" customWidth="1"/>
    <col min="3" max="7" width="11" style="1"/>
    <col min="8" max="8" width="14.09765625" style="1" bestFit="1" customWidth="1"/>
    <col min="9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153</v>
      </c>
      <c r="B6" s="39" t="s">
        <v>181</v>
      </c>
      <c r="C6" s="1" t="s">
        <v>180</v>
      </c>
      <c r="G6" s="1" t="s">
        <v>184</v>
      </c>
      <c r="H6" s="1" t="s">
        <v>188</v>
      </c>
    </row>
    <row r="7" spans="1:10" ht="18.5" x14ac:dyDescent="0.45">
      <c r="A7" s="42"/>
      <c r="B7" s="39" t="s">
        <v>182</v>
      </c>
      <c r="C7" s="1" t="s">
        <v>187</v>
      </c>
      <c r="G7" s="1" t="s">
        <v>183</v>
      </c>
      <c r="H7" s="1" t="s">
        <v>189</v>
      </c>
    </row>
    <row r="8" spans="1:10" x14ac:dyDescent="0.35">
      <c r="G8" s="1" t="s">
        <v>185</v>
      </c>
      <c r="H8" s="1" t="s">
        <v>190</v>
      </c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LEFT(A16,5)</f>
        <v>20000</v>
      </c>
      <c r="C16" s="1" t="str">
        <f>MID(A16,7,6)</f>
        <v>Monday</v>
      </c>
      <c r="D16" s="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35">
      <c r="A17" s="7" t="s">
        <v>122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2"/>
  <sheetViews>
    <sheetView topLeftCell="A5" zoomScaleNormal="100" workbookViewId="0">
      <selection activeCell="E13" sqref="E13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8" ht="21" x14ac:dyDescent="0.5">
      <c r="A1" s="41" t="s">
        <v>85</v>
      </c>
      <c r="B1" s="40" t="s">
        <v>167</v>
      </c>
    </row>
    <row r="2" spans="1:8" ht="18.5" x14ac:dyDescent="0.45">
      <c r="B2" s="39" t="s">
        <v>166</v>
      </c>
    </row>
    <row r="5" spans="1:8" ht="14.5" x14ac:dyDescent="0.35">
      <c r="B5" s="1" t="s">
        <v>151</v>
      </c>
    </row>
    <row r="6" spans="1:8" ht="14.5" x14ac:dyDescent="0.35">
      <c r="A6" s="3" t="s">
        <v>53</v>
      </c>
      <c r="B6" s="1"/>
    </row>
    <row r="7" spans="1:8" ht="14.5" x14ac:dyDescent="0.35">
      <c r="A7" s="3" t="s">
        <v>153</v>
      </c>
      <c r="B7" s="1" t="s">
        <v>186</v>
      </c>
    </row>
    <row r="10" spans="1:8" ht="23.5" x14ac:dyDescent="0.55000000000000004">
      <c r="A10" s="17" t="s">
        <v>162</v>
      </c>
    </row>
    <row r="11" spans="1:8" ht="14.5" x14ac:dyDescent="0.35">
      <c r="A11" s="31" t="s">
        <v>86</v>
      </c>
      <c r="B11" s="16" t="s">
        <v>87</v>
      </c>
      <c r="C11" s="16" t="s">
        <v>88</v>
      </c>
    </row>
    <row r="12" spans="1:8" ht="14.5" x14ac:dyDescent="0.35">
      <c r="A12" s="31">
        <v>44927</v>
      </c>
      <c r="B12" s="16" t="s">
        <v>59</v>
      </c>
      <c r="C12" s="16">
        <v>200</v>
      </c>
      <c r="D12" s="2">
        <f>IFERROR(C12, 20)</f>
        <v>200</v>
      </c>
      <c r="H12" s="16"/>
    </row>
    <row r="13" spans="1:8" ht="14.5" x14ac:dyDescent="0.35">
      <c r="A13" s="31">
        <v>44928</v>
      </c>
      <c r="B13" s="16" t="s">
        <v>60</v>
      </c>
      <c r="C13" s="16" t="e">
        <v>#N/A</v>
      </c>
      <c r="D13" s="2">
        <f t="shared" ref="D13:D22" si="0">IFERROR(C13, 20)</f>
        <v>20</v>
      </c>
    </row>
    <row r="14" spans="1:8" ht="14.5" x14ac:dyDescent="0.35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8" ht="14.5" x14ac:dyDescent="0.35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8" ht="14.5" x14ac:dyDescent="0.35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5" x14ac:dyDescent="0.35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5" x14ac:dyDescent="0.35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5" x14ac:dyDescent="0.35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4.5" x14ac:dyDescent="0.35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5" x14ac:dyDescent="0.35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4.5" x14ac:dyDescent="0.35">
      <c r="B22" s="16" t="s">
        <v>159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I17" sqref="I1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v>95</v>
      </c>
      <c r="F23" s="2" t="s">
        <v>89</v>
      </c>
      <c r="G23" s="2" t="s">
        <v>90</v>
      </c>
      <c r="H23" s="2">
        <v>95</v>
      </c>
    </row>
    <row r="24" spans="1:14" ht="14.5" x14ac:dyDescent="0.35">
      <c r="A24" s="7">
        <v>10100</v>
      </c>
      <c r="B24" s="11">
        <v>10104</v>
      </c>
      <c r="C24" s="43">
        <v>-1</v>
      </c>
      <c r="F24" s="2" t="s">
        <v>89</v>
      </c>
      <c r="G24" s="2" t="s">
        <v>91</v>
      </c>
      <c r="H24" s="2">
        <v>-1</v>
      </c>
    </row>
    <row r="25" spans="1:14" ht="14.5" x14ac:dyDescent="0.35">
      <c r="A25" s="7">
        <v>10108</v>
      </c>
      <c r="B25" s="11">
        <v>10102</v>
      </c>
      <c r="C25" s="43">
        <v>160</v>
      </c>
      <c r="F25" s="2" t="s">
        <v>93</v>
      </c>
      <c r="G25" s="2" t="s">
        <v>90</v>
      </c>
      <c r="H25" s="2">
        <v>160</v>
      </c>
    </row>
    <row r="26" spans="1:14" ht="14.5" x14ac:dyDescent="0.35">
      <c r="A26" s="7">
        <v>10100</v>
      </c>
      <c r="B26" s="11">
        <v>10106</v>
      </c>
      <c r="C26" s="43"/>
    </row>
    <row r="27" spans="1:14" ht="14.5" x14ac:dyDescent="0.35">
      <c r="A27" s="7">
        <v>10108</v>
      </c>
      <c r="B27" s="11">
        <v>10110</v>
      </c>
      <c r="C27" s="43"/>
    </row>
    <row r="28" spans="1:14" ht="14.5" x14ac:dyDescent="0.35">
      <c r="A28" s="7">
        <v>10102</v>
      </c>
      <c r="B28" s="11">
        <v>10104</v>
      </c>
      <c r="C28" s="43"/>
    </row>
    <row r="29" spans="1:14" ht="14.5" x14ac:dyDescent="0.35">
      <c r="A29" s="7">
        <v>10106</v>
      </c>
      <c r="B29" s="11">
        <v>10108</v>
      </c>
      <c r="C29" s="43"/>
    </row>
    <row r="30" spans="1:14" ht="14.5" x14ac:dyDescent="0.35">
      <c r="A30" s="7">
        <v>10102</v>
      </c>
      <c r="B30" s="11">
        <v>10106</v>
      </c>
      <c r="C30" s="43"/>
    </row>
    <row r="31" spans="1:14" ht="14.5" x14ac:dyDescent="0.35">
      <c r="A31" s="7">
        <v>10110</v>
      </c>
      <c r="B31" s="11">
        <v>10114</v>
      </c>
      <c r="C31" s="43"/>
    </row>
    <row r="32" spans="1:14" ht="14.5" x14ac:dyDescent="0.35">
      <c r="A32" s="7">
        <v>10104</v>
      </c>
      <c r="B32" s="11">
        <v>10106</v>
      </c>
      <c r="C32" s="43"/>
    </row>
    <row r="33" spans="1:3" ht="14.5" x14ac:dyDescent="0.35">
      <c r="A33" s="7">
        <v>10110</v>
      </c>
      <c r="B33" s="11">
        <v>10112</v>
      </c>
      <c r="C33" s="43"/>
    </row>
    <row r="34" spans="1:3" ht="14.5" x14ac:dyDescent="0.35">
      <c r="A34" s="7">
        <v>10100</v>
      </c>
      <c r="B34" s="11">
        <v>10114</v>
      </c>
      <c r="C34" s="43"/>
    </row>
    <row r="35" spans="1:3" ht="14.5" x14ac:dyDescent="0.3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govin.prabaharan@hotmail.com</cp:lastModifiedBy>
  <dcterms:created xsi:type="dcterms:W3CDTF">2015-02-10T17:33:11Z</dcterms:created>
  <dcterms:modified xsi:type="dcterms:W3CDTF">2023-12-10T13:19:02Z</dcterms:modified>
</cp:coreProperties>
</file>